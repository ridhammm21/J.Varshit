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500" activeTab="1"/>
  </bookViews>
  <sheets>
    <sheet name="price" sheetId="1" r:id="rId1"/>
    <sheet name="inquiry fro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<sst xmlns="http://schemas.openxmlformats.org/spreadsheetml/2006/main" count="102" uniqueCount="72">
  <si>
    <t>usd rate</t>
  </si>
  <si>
    <t xml:space="preserve">  </t>
  </si>
  <si>
    <t>size/mm</t>
  </si>
  <si>
    <t>size-sieve</t>
  </si>
  <si>
    <t>per ct pes</t>
  </si>
  <si>
    <t>wieght</t>
  </si>
  <si>
    <t>vvs/vs</t>
  </si>
  <si>
    <t>vvs/vs (ppp)</t>
  </si>
  <si>
    <t>pes</t>
  </si>
  <si>
    <t>Total weight</t>
  </si>
  <si>
    <t>000-00</t>
  </si>
  <si>
    <t>00-0</t>
  </si>
  <si>
    <t>0-1</t>
  </si>
  <si>
    <t>1-1.5</t>
  </si>
  <si>
    <t>1.5-2</t>
  </si>
  <si>
    <t>2-2.5</t>
  </si>
  <si>
    <t>2.5-3</t>
  </si>
  <si>
    <t>3-3.5</t>
  </si>
  <si>
    <t>3.5-4</t>
  </si>
  <si>
    <t>4-4.5</t>
  </si>
  <si>
    <t>4.5-5</t>
  </si>
  <si>
    <t>5-5.5</t>
  </si>
  <si>
    <t>5.5-6</t>
  </si>
  <si>
    <t>6-6.5</t>
  </si>
  <si>
    <t>6.5-7</t>
  </si>
  <si>
    <t>7-7.5</t>
  </si>
  <si>
    <t>7.5-8</t>
  </si>
  <si>
    <t>8-8.5</t>
  </si>
  <si>
    <t>8.5-9</t>
  </si>
  <si>
    <t>9-9.5</t>
  </si>
  <si>
    <t>9.5-10</t>
  </si>
  <si>
    <t>10-10.5</t>
  </si>
  <si>
    <t>10.5-11</t>
  </si>
  <si>
    <t>11-11.5</t>
  </si>
  <si>
    <t>11.5-12</t>
  </si>
  <si>
    <t>12-12.5</t>
  </si>
  <si>
    <t>12.5-13</t>
  </si>
  <si>
    <t>13-13.5</t>
  </si>
  <si>
    <t>13.5-14</t>
  </si>
  <si>
    <t>14-15.5</t>
  </si>
  <si>
    <t>15.5-17</t>
  </si>
  <si>
    <t>3.8-3.9</t>
  </si>
  <si>
    <t>17-19</t>
  </si>
  <si>
    <t>4-4.1</t>
  </si>
  <si>
    <t>4.3-4.5</t>
  </si>
  <si>
    <t>shape</t>
  </si>
  <si>
    <t>cut</t>
  </si>
  <si>
    <t>color</t>
  </si>
  <si>
    <t>grade/clearity</t>
  </si>
  <si>
    <t>size</t>
  </si>
  <si>
    <t>moq carat</t>
  </si>
  <si>
    <t>brilliaunt round</t>
  </si>
  <si>
    <t>very good</t>
  </si>
  <si>
    <t>GH</t>
  </si>
  <si>
    <t>vvs</t>
  </si>
  <si>
    <t>mm wise</t>
  </si>
  <si>
    <t>sieve wise</t>
  </si>
  <si>
    <t>market view</t>
  </si>
  <si>
    <t>good</t>
  </si>
  <si>
    <t>HI</t>
  </si>
  <si>
    <t>vs1</t>
  </si>
  <si>
    <t>IJ</t>
  </si>
  <si>
    <t>vs2</t>
  </si>
  <si>
    <t>JK</t>
  </si>
  <si>
    <t>si1</t>
  </si>
  <si>
    <t>KL</t>
  </si>
  <si>
    <t>si2</t>
  </si>
  <si>
    <t>si3</t>
  </si>
  <si>
    <t>i1</t>
  </si>
  <si>
    <t>star</t>
  </si>
  <si>
    <t>i2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</si>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</sst>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8" applyNumberFormat="0" applyAlignment="0" applyProtection="0">
      <alignment vertical="center"/>
    </xf>
    <xf numFmtId="0" fontId="10" fillId="5" borderId="9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"/>
  <sheetViews>
    <sheetView topLeftCell="A26" workbookViewId="0">
      <selection activeCell="C6" sqref="C6"/>
    </sheetView>
  </sheetViews>
  <sheetFormatPr defaultColWidth="10.2857142857143" defaultRowHeight="15"/>
  <cols>
    <col min="1" max="1" width="10.2857142857143" style="4"/>
    <col min="2" max="2" width="9.85714285714286" style="4" customWidth="1"/>
    <col min="3" max="5" width="10.2857142857143" style="4"/>
    <col min="6" max="6" width="11.8571428571429" style="4" customWidth="1"/>
    <col min="7" max="7" width="10.2857142857143" style="4"/>
    <col min="8" max="8" width="12" style="4" customWidth="1"/>
    <col min="9" max="16384" width="10.2857142857143" style="4"/>
  </cols>
  <sheetData>
    <row r="1" spans="1:9">
      <c r="A1" s="4" t="s">
        <v>0</v>
      </c>
      <c r="B1" s="4">
        <v>90</v>
      </c>
      <c r="I1" s="4" t="s">
        <v>1</v>
      </c>
    </row>
    <row r="2" spans="1:9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</row>
    <row r="3" spans="1:9">
      <c r="A3" s="4">
        <v>0.9</v>
      </c>
      <c r="B3" s="4" t="s">
        <v>10</v>
      </c>
      <c r="C3" s="4">
        <v>250</v>
      </c>
      <c r="D3" s="4">
        <v>0.004</v>
      </c>
      <c r="E3" s="4">
        <v>12800</v>
      </c>
      <c r="F3" s="8">
        <f>E3/C3</f>
        <v>51.2</v>
      </c>
      <c r="G3" s="4">
        <v>0</v>
      </c>
      <c r="H3" s="4">
        <f>G3*D3</f>
        <v>0</v>
      </c>
    </row>
    <row r="4" spans="1:9">
      <c r="A4" s="4">
        <v>1</v>
      </c>
      <c r="B4" s="4" t="s">
        <v>11</v>
      </c>
      <c r="C4" s="4">
        <v>200</v>
      </c>
      <c r="D4" s="4">
        <v>0.005</v>
      </c>
      <c r="E4" s="4">
        <v>11350</v>
      </c>
      <c r="F4" s="8">
        <f t="shared" ref="F4:F38" si="0">E4/C4</f>
        <v>56.75</v>
      </c>
      <c r="G4" s="4">
        <v>0</v>
      </c>
      <c r="H4" s="4">
        <f t="shared" ref="H4:H38" si="1">G4*D4</f>
        <v>0</v>
      </c>
    </row>
    <row r="5" spans="1:9">
      <c r="A5" s="4">
        <v>1.1</v>
      </c>
      <c r="B5" s="4" t="s">
        <v>12</v>
      </c>
      <c r="C5" s="4">
        <v>166</v>
      </c>
      <c r="D5" s="4">
        <v>0.006</v>
      </c>
      <c r="E5" s="4">
        <v>10350</v>
      </c>
      <c r="F5" s="8">
        <f t="shared" si="0"/>
        <v>62.3493975903614</v>
      </c>
      <c r="G5" s="8">
        <v>0</v>
      </c>
      <c r="H5" s="4">
        <f t="shared" si="1"/>
        <v>0</v>
      </c>
    </row>
    <row r="6" spans="1:9">
      <c r="A6" s="4">
        <v>1.15</v>
      </c>
      <c r="B6" s="4" t="s">
        <v>13</v>
      </c>
      <c r="C6" s="4">
        <v>143</v>
      </c>
      <c r="D6" s="4">
        <v>0.007</v>
      </c>
      <c r="E6" s="4">
        <v>8400</v>
      </c>
      <c r="F6" s="8">
        <f t="shared" si="0"/>
        <v>58.7412587412587</v>
      </c>
      <c r="G6" s="4">
        <v>0</v>
      </c>
      <c r="H6" s="4">
        <f t="shared" si="1"/>
        <v>0</v>
      </c>
    </row>
    <row r="7" spans="1:9">
      <c r="A7" s="4">
        <v>1.2</v>
      </c>
      <c r="B7" s="4" t="s">
        <v>14</v>
      </c>
      <c r="C7" s="4">
        <v>125</v>
      </c>
      <c r="D7" s="4">
        <v>0.008</v>
      </c>
      <c r="E7" s="4">
        <v>8900</v>
      </c>
      <c r="F7" s="8">
        <f t="shared" si="0"/>
        <v>71.2</v>
      </c>
      <c r="G7" s="4">
        <v>0</v>
      </c>
      <c r="H7" s="4">
        <f t="shared" si="1"/>
        <v>0</v>
      </c>
    </row>
    <row r="8" spans="1:9">
      <c r="A8" s="4">
        <v>1.25</v>
      </c>
      <c r="B8" s="4" t="s">
        <v>15</v>
      </c>
      <c r="C8" s="4">
        <v>111</v>
      </c>
      <c r="D8" s="4">
        <v>0.009</v>
      </c>
      <c r="E8" s="4">
        <v>7300</v>
      </c>
      <c r="F8" s="8">
        <f t="shared" si="0"/>
        <v>65.7657657657658</v>
      </c>
      <c r="G8" s="4">
        <v>0</v>
      </c>
      <c r="H8" s="4">
        <f t="shared" si="1"/>
        <v>0</v>
      </c>
    </row>
    <row r="9" spans="1:9">
      <c r="A9" s="4">
        <v>1.3</v>
      </c>
      <c r="B9" s="4" t="s">
        <v>16</v>
      </c>
      <c r="C9" s="4">
        <v>100</v>
      </c>
      <c r="D9" s="4">
        <v>0.01</v>
      </c>
      <c r="E9" s="4">
        <v>7300</v>
      </c>
      <c r="F9" s="8">
        <f t="shared" si="0"/>
        <v>73</v>
      </c>
      <c r="G9" s="4">
        <v>0</v>
      </c>
      <c r="H9" s="4">
        <f t="shared" si="1"/>
        <v>0</v>
      </c>
    </row>
    <row r="10" spans="1:9">
      <c r="A10" s="4">
        <v>1.35</v>
      </c>
      <c r="B10" s="4" t="s">
        <v>17</v>
      </c>
      <c r="C10" s="4">
        <v>91</v>
      </c>
      <c r="D10" s="4">
        <v>0.011</v>
      </c>
      <c r="E10" s="4">
        <v>6500</v>
      </c>
      <c r="F10" s="8">
        <f t="shared" si="0"/>
        <v>71.4285714285714</v>
      </c>
      <c r="G10" s="4">
        <v>0</v>
      </c>
      <c r="H10" s="4">
        <f t="shared" si="1"/>
        <v>0</v>
      </c>
    </row>
    <row r="11" spans="1:9">
      <c r="A11" s="4">
        <v>1.4</v>
      </c>
      <c r="B11" s="4" t="s">
        <v>18</v>
      </c>
      <c r="C11" s="4">
        <v>83</v>
      </c>
      <c r="D11" s="4">
        <v>0.012</v>
      </c>
      <c r="E11" s="4">
        <v>6250</v>
      </c>
      <c r="F11" s="8">
        <f t="shared" si="0"/>
        <v>75.3012048192771</v>
      </c>
      <c r="G11" s="4">
        <v>0</v>
      </c>
      <c r="H11" s="4">
        <f t="shared" si="1"/>
        <v>0</v>
      </c>
    </row>
    <row r="12" spans="1:9">
      <c r="A12" s="4">
        <v>1.45</v>
      </c>
      <c r="B12" s="4" t="s">
        <v>19</v>
      </c>
      <c r="C12" s="4">
        <v>77</v>
      </c>
      <c r="D12" s="4">
        <v>0.013</v>
      </c>
      <c r="E12" s="4">
        <v>6500</v>
      </c>
      <c r="F12" s="8">
        <f t="shared" si="0"/>
        <v>84.4155844155844</v>
      </c>
      <c r="G12" s="4">
        <v>0</v>
      </c>
      <c r="H12" s="4">
        <f t="shared" si="1"/>
        <v>0</v>
      </c>
    </row>
    <row r="13" spans="1:9">
      <c r="A13" s="4">
        <v>1.5</v>
      </c>
      <c r="B13" s="4" t="s">
        <v>20</v>
      </c>
      <c r="C13" s="4">
        <v>72</v>
      </c>
      <c r="D13" s="4">
        <v>0.014</v>
      </c>
      <c r="E13" s="4">
        <v>6800</v>
      </c>
      <c r="F13" s="8">
        <f t="shared" si="0"/>
        <v>94.4444444444444</v>
      </c>
      <c r="G13" s="4">
        <v>0</v>
      </c>
      <c r="H13" s="4">
        <f t="shared" si="1"/>
        <v>0</v>
      </c>
    </row>
    <row r="14" spans="1:9">
      <c r="A14" s="4">
        <v>1.55</v>
      </c>
      <c r="B14" s="4" t="s">
        <v>21</v>
      </c>
      <c r="C14" s="4">
        <v>63</v>
      </c>
      <c r="D14" s="4">
        <v>0.016</v>
      </c>
      <c r="E14" s="4">
        <v>6500</v>
      </c>
      <c r="F14" s="8">
        <f t="shared" si="0"/>
        <v>103.174603174603</v>
      </c>
      <c r="G14" s="4">
        <v>0</v>
      </c>
      <c r="H14" s="4">
        <f t="shared" si="1"/>
        <v>0</v>
      </c>
    </row>
    <row r="15" spans="1:9">
      <c r="A15" s="4">
        <v>1.6</v>
      </c>
      <c r="B15" s="4" t="s">
        <v>22</v>
      </c>
      <c r="C15" s="4">
        <v>56</v>
      </c>
      <c r="D15" s="4">
        <v>0.018</v>
      </c>
      <c r="E15" s="4">
        <v>5250</v>
      </c>
      <c r="F15" s="8">
        <f t="shared" si="0"/>
        <v>93.75</v>
      </c>
      <c r="G15" s="8">
        <v>0</v>
      </c>
      <c r="H15" s="4">
        <f t="shared" si="1"/>
        <v>0</v>
      </c>
    </row>
    <row r="16" spans="1:9">
      <c r="A16" s="4">
        <v>1.7</v>
      </c>
      <c r="B16" s="4" t="s">
        <v>23</v>
      </c>
      <c r="C16" s="4">
        <v>48</v>
      </c>
      <c r="D16" s="4">
        <v>0.021</v>
      </c>
      <c r="E16" s="4">
        <v>5250</v>
      </c>
      <c r="F16" s="8">
        <f t="shared" si="0"/>
        <v>109.375</v>
      </c>
      <c r="G16" s="4">
        <v>0</v>
      </c>
      <c r="H16" s="4">
        <f t="shared" si="1"/>
        <v>0</v>
      </c>
    </row>
    <row r="17" spans="1:8">
      <c r="A17" s="4">
        <v>1.8</v>
      </c>
      <c r="B17" s="4" t="s">
        <v>24</v>
      </c>
      <c r="C17" s="4">
        <v>40</v>
      </c>
      <c r="D17" s="4">
        <v>0.025</v>
      </c>
      <c r="E17" s="4">
        <v>4750</v>
      </c>
      <c r="F17" s="8">
        <f t="shared" si="0"/>
        <v>118.75</v>
      </c>
      <c r="G17" s="4">
        <v>0</v>
      </c>
      <c r="H17" s="4">
        <f t="shared" si="1"/>
        <v>0</v>
      </c>
    </row>
    <row r="18" spans="1:8">
      <c r="A18" s="4">
        <v>1.9</v>
      </c>
      <c r="B18" s="4" t="s">
        <v>25</v>
      </c>
      <c r="C18" s="4">
        <v>35</v>
      </c>
      <c r="D18" s="4">
        <v>0.029</v>
      </c>
      <c r="E18" s="4">
        <v>4750</v>
      </c>
      <c r="F18" s="8">
        <f t="shared" si="0"/>
        <v>135.714285714286</v>
      </c>
      <c r="G18" s="4">
        <v>0</v>
      </c>
      <c r="H18" s="4">
        <f t="shared" si="1"/>
        <v>0</v>
      </c>
    </row>
    <row r="19" spans="1:8">
      <c r="A19" s="4">
        <v>2</v>
      </c>
      <c r="B19" s="4" t="s">
        <v>26</v>
      </c>
      <c r="C19" s="4">
        <v>29</v>
      </c>
      <c r="D19" s="4">
        <v>0.035</v>
      </c>
      <c r="E19" s="4">
        <v>4550</v>
      </c>
      <c r="F19" s="8">
        <f t="shared" si="0"/>
        <v>156.896551724138</v>
      </c>
      <c r="G19" s="4">
        <v>0</v>
      </c>
      <c r="H19" s="4">
        <f t="shared" si="1"/>
        <v>0</v>
      </c>
    </row>
    <row r="20" spans="1:8">
      <c r="A20" s="4">
        <v>2.1</v>
      </c>
      <c r="B20" s="4" t="s">
        <v>27</v>
      </c>
      <c r="C20" s="4">
        <v>26</v>
      </c>
      <c r="D20" s="4">
        <v>0.039</v>
      </c>
      <c r="E20" s="4">
        <v>4400</v>
      </c>
      <c r="F20" s="8">
        <f t="shared" si="0"/>
        <v>169.230769230769</v>
      </c>
      <c r="G20" s="4">
        <v>0</v>
      </c>
      <c r="H20" s="4">
        <f t="shared" si="1"/>
        <v>0</v>
      </c>
    </row>
    <row r="21" spans="1:8">
      <c r="A21" s="4">
        <v>2.2</v>
      </c>
      <c r="B21" s="4" t="s">
        <v>28</v>
      </c>
      <c r="C21" s="4">
        <v>23</v>
      </c>
      <c r="D21" s="4">
        <v>0.044</v>
      </c>
      <c r="E21" s="4">
        <v>4250</v>
      </c>
      <c r="F21" s="8">
        <f t="shared" si="0"/>
        <v>184.782608695652</v>
      </c>
      <c r="G21" s="4">
        <v>0</v>
      </c>
      <c r="H21" s="4">
        <f t="shared" si="1"/>
        <v>0</v>
      </c>
    </row>
    <row r="22" spans="1:8">
      <c r="A22" s="4">
        <v>2.3</v>
      </c>
      <c r="B22" s="4" t="s">
        <v>29</v>
      </c>
      <c r="C22" s="4">
        <v>19</v>
      </c>
      <c r="D22" s="4">
        <v>0.052</v>
      </c>
      <c r="E22" s="4">
        <v>4150</v>
      </c>
      <c r="F22" s="8">
        <f t="shared" si="0"/>
        <v>218.421052631579</v>
      </c>
      <c r="G22" s="4">
        <v>0</v>
      </c>
      <c r="H22" s="4">
        <f t="shared" si="1"/>
        <v>0</v>
      </c>
    </row>
    <row r="23" spans="1:8">
      <c r="A23" s="4">
        <v>2.4</v>
      </c>
      <c r="B23" s="4" t="s">
        <v>30</v>
      </c>
      <c r="C23" s="4">
        <v>17</v>
      </c>
      <c r="D23" s="4">
        <v>0.058</v>
      </c>
      <c r="E23" s="4">
        <v>4150</v>
      </c>
      <c r="F23" s="8">
        <f t="shared" si="0"/>
        <v>244.117647058824</v>
      </c>
      <c r="G23" s="4">
        <v>0</v>
      </c>
      <c r="H23" s="4">
        <f t="shared" si="1"/>
        <v>0</v>
      </c>
    </row>
    <row r="24" spans="1:8">
      <c r="A24" s="4">
        <v>2.5</v>
      </c>
      <c r="B24" s="4" t="s">
        <v>31</v>
      </c>
      <c r="C24" s="4">
        <v>15</v>
      </c>
      <c r="D24" s="4">
        <v>0.069</v>
      </c>
      <c r="E24" s="4">
        <v>4150</v>
      </c>
      <c r="F24" s="8">
        <f t="shared" si="0"/>
        <v>276.666666666667</v>
      </c>
      <c r="G24" s="4">
        <v>0</v>
      </c>
      <c r="H24" s="4">
        <f t="shared" si="1"/>
        <v>0</v>
      </c>
    </row>
    <row r="25" spans="1:8">
      <c r="A25" s="4">
        <v>2.6</v>
      </c>
      <c r="B25" s="4" t="s">
        <v>32</v>
      </c>
      <c r="C25" s="4">
        <v>14</v>
      </c>
      <c r="D25" s="4">
        <v>0.074</v>
      </c>
      <c r="E25" s="4">
        <v>4000</v>
      </c>
      <c r="F25" s="8">
        <f t="shared" si="0"/>
        <v>285.714285714286</v>
      </c>
      <c r="G25" s="4">
        <v>0</v>
      </c>
      <c r="H25" s="4">
        <f t="shared" si="1"/>
        <v>0</v>
      </c>
    </row>
    <row r="26" spans="1:8">
      <c r="A26" s="4">
        <v>2.7</v>
      </c>
      <c r="B26" s="4" t="s">
        <v>33</v>
      </c>
      <c r="C26" s="4">
        <v>13</v>
      </c>
      <c r="D26" s="4">
        <v>0.078</v>
      </c>
      <c r="E26" s="4">
        <v>4000</v>
      </c>
      <c r="F26" s="8">
        <f t="shared" si="0"/>
        <v>307.692307692308</v>
      </c>
      <c r="G26" s="4">
        <v>0</v>
      </c>
      <c r="H26" s="4">
        <f t="shared" si="1"/>
        <v>0</v>
      </c>
    </row>
    <row r="27" spans="1:8">
      <c r="A27" s="4">
        <v>2.8</v>
      </c>
      <c r="B27" s="4" t="s">
        <v>34</v>
      </c>
      <c r="C27" s="4">
        <v>12</v>
      </c>
      <c r="D27" s="4">
        <v>0.086</v>
      </c>
      <c r="E27" s="4">
        <v>4000</v>
      </c>
      <c r="F27" s="8">
        <f t="shared" si="0"/>
        <v>333.333333333333</v>
      </c>
      <c r="G27" s="4">
        <v>0</v>
      </c>
      <c r="H27" s="4">
        <f t="shared" si="1"/>
        <v>0</v>
      </c>
    </row>
    <row r="28" spans="1:8">
      <c r="A28" s="4">
        <v>2.9</v>
      </c>
      <c r="B28" s="4" t="s">
        <v>35</v>
      </c>
      <c r="C28" s="4">
        <v>11</v>
      </c>
      <c r="D28" s="4">
        <v>0.095</v>
      </c>
      <c r="E28" s="4">
        <v>4400</v>
      </c>
      <c r="F28" s="8">
        <f t="shared" si="0"/>
        <v>400</v>
      </c>
      <c r="G28" s="4">
        <v>0</v>
      </c>
      <c r="H28" s="4">
        <f t="shared" si="1"/>
        <v>0</v>
      </c>
    </row>
    <row r="29" spans="1:8">
      <c r="A29" s="4">
        <v>3</v>
      </c>
      <c r="B29" s="4" t="s">
        <v>36</v>
      </c>
      <c r="C29" s="4">
        <v>10</v>
      </c>
      <c r="D29" s="4">
        <v>0.108</v>
      </c>
      <c r="E29" s="4">
        <v>4400</v>
      </c>
      <c r="F29" s="8">
        <f t="shared" si="0"/>
        <v>440</v>
      </c>
      <c r="G29" s="4">
        <v>0</v>
      </c>
      <c r="H29" s="4">
        <f t="shared" si="1"/>
        <v>0</v>
      </c>
    </row>
    <row r="30" spans="1:8">
      <c r="A30" s="4">
        <v>3.1</v>
      </c>
      <c r="B30" s="4" t="s">
        <v>37</v>
      </c>
      <c r="C30" s="4">
        <v>9</v>
      </c>
      <c r="D30" s="4">
        <v>0.116</v>
      </c>
      <c r="E30" s="4">
        <v>4000</v>
      </c>
      <c r="F30" s="8">
        <f t="shared" si="0"/>
        <v>444.444444444444</v>
      </c>
      <c r="G30" s="4">
        <v>0</v>
      </c>
      <c r="H30" s="4">
        <f t="shared" si="1"/>
        <v>0</v>
      </c>
    </row>
    <row r="31" spans="1:8">
      <c r="A31" s="4">
        <v>3.2</v>
      </c>
      <c r="B31" s="4" t="s">
        <v>38</v>
      </c>
      <c r="C31" s="4">
        <v>8</v>
      </c>
      <c r="D31" s="4">
        <v>0.125</v>
      </c>
      <c r="E31" s="4">
        <v>4000</v>
      </c>
      <c r="F31" s="8">
        <f t="shared" si="0"/>
        <v>500</v>
      </c>
      <c r="G31" s="4">
        <v>0</v>
      </c>
      <c r="H31" s="4">
        <f t="shared" si="1"/>
        <v>0</v>
      </c>
    </row>
    <row r="32" spans="1:8">
      <c r="A32" s="4">
        <v>3.3</v>
      </c>
      <c r="B32" s="4" t="s">
        <v>39</v>
      </c>
      <c r="C32" s="4">
        <v>7</v>
      </c>
      <c r="D32" s="4">
        <v>0.14</v>
      </c>
      <c r="E32" s="4">
        <v>3700</v>
      </c>
      <c r="F32" s="8">
        <f t="shared" si="0"/>
        <v>528.571428571429</v>
      </c>
      <c r="G32" s="4">
        <v>0</v>
      </c>
      <c r="H32" s="4">
        <f t="shared" si="1"/>
        <v>0</v>
      </c>
    </row>
    <row r="33" spans="1:8">
      <c r="A33" s="4">
        <v>3.6</v>
      </c>
      <c r="B33" s="4" t="s">
        <v>40</v>
      </c>
      <c r="C33" s="4">
        <v>6</v>
      </c>
      <c r="D33" s="4">
        <v>0.16</v>
      </c>
      <c r="E33" s="4">
        <v>4350</v>
      </c>
      <c r="F33" s="8">
        <f t="shared" si="0"/>
        <v>725</v>
      </c>
      <c r="G33" s="4">
        <v>0</v>
      </c>
      <c r="H33" s="4">
        <f t="shared" si="1"/>
        <v>0</v>
      </c>
    </row>
    <row r="34" spans="1:8">
      <c r="A34" s="4" t="s">
        <v>41</v>
      </c>
      <c r="B34" s="4" t="s">
        <v>42</v>
      </c>
      <c r="C34" s="4">
        <v>5</v>
      </c>
      <c r="D34" s="4">
        <v>0.2</v>
      </c>
      <c r="E34" s="4">
        <v>5500</v>
      </c>
      <c r="F34" s="8">
        <f t="shared" si="0"/>
        <v>1100</v>
      </c>
      <c r="G34" s="4">
        <v>0</v>
      </c>
      <c r="H34" s="4">
        <f t="shared" si="1"/>
        <v>0</v>
      </c>
    </row>
    <row r="35" spans="1:8">
      <c r="A35" s="4" t="s">
        <v>43</v>
      </c>
      <c r="B35" s="4">
        <v>25</v>
      </c>
      <c r="C35" s="4">
        <v>4</v>
      </c>
      <c r="D35" s="4">
        <v>0.25</v>
      </c>
      <c r="E35" s="4">
        <v>5750</v>
      </c>
      <c r="F35" s="8">
        <f t="shared" si="0"/>
        <v>1437.5</v>
      </c>
      <c r="G35" s="4">
        <v>0</v>
      </c>
      <c r="H35" s="4">
        <f t="shared" si="1"/>
        <v>0</v>
      </c>
    </row>
    <row r="36" spans="1:8">
      <c r="A36" s="4" t="s">
        <v>44</v>
      </c>
      <c r="B36" s="4">
        <v>33</v>
      </c>
      <c r="C36" s="4">
        <v>3</v>
      </c>
      <c r="D36" s="4">
        <v>0.33</v>
      </c>
      <c r="E36" s="4">
        <v>5750</v>
      </c>
      <c r="F36" s="8">
        <f t="shared" si="0"/>
        <v>1916.66666666667</v>
      </c>
      <c r="G36" s="4">
        <v>0</v>
      </c>
      <c r="H36" s="4">
        <f t="shared" si="1"/>
        <v>0</v>
      </c>
    </row>
    <row r="37" spans="1:8">
      <c r="A37" s="4">
        <v>5.2</v>
      </c>
      <c r="B37" s="4">
        <v>50</v>
      </c>
      <c r="C37" s="4">
        <v>2</v>
      </c>
      <c r="D37" s="4">
        <v>0.5</v>
      </c>
      <c r="E37" s="4">
        <v>6250</v>
      </c>
      <c r="F37" s="8">
        <f t="shared" si="0"/>
        <v>3125</v>
      </c>
      <c r="G37" s="4">
        <v>0</v>
      </c>
      <c r="H37" s="4">
        <f t="shared" si="1"/>
        <v>0</v>
      </c>
    </row>
    <row r="38" spans="1:8">
      <c r="A38" s="4">
        <v>6.5</v>
      </c>
      <c r="B38" s="4">
        <v>1</v>
      </c>
      <c r="C38" s="4">
        <v>1</v>
      </c>
      <c r="D38" s="4">
        <v>1</v>
      </c>
      <c r="E38" s="4">
        <v>7250</v>
      </c>
      <c r="F38" s="8">
        <f t="shared" si="0"/>
        <v>7250</v>
      </c>
      <c r="G38" s="4">
        <v>0</v>
      </c>
      <c r="H38" s="4">
        <f t="shared" si="1"/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workbookViewId="0">
      <selection activeCell="C12" sqref="C12"/>
    </sheetView>
  </sheetViews>
  <sheetFormatPr defaultColWidth="17.8571428571429" defaultRowHeight="19" customHeight="1" outlineLevelCol="7"/>
  <cols>
    <col min="1" max="16384" width="17.8571428571429" style="1" customWidth="1"/>
  </cols>
  <sheetData>
    <row r="1" customHeight="1" spans="1:8">
      <c r="A1" s="1" t="s">
        <v>45</v>
      </c>
      <c r="B1" s="1" t="s">
        <v>46</v>
      </c>
      <c r="C1" s="1" t="s">
        <v>47</v>
      </c>
      <c r="D1" s="1" t="s">
        <v>48</v>
      </c>
      <c r="E1" s="2" t="s">
        <v>49</v>
      </c>
      <c r="F1" s="2"/>
      <c r="G1" s="2"/>
      <c r="H1" s="1" t="s">
        <v>50</v>
      </c>
    </row>
    <row r="2" customHeight="1" spans="1:8">
      <c r="A2" s="1" t="s">
        <v>51</v>
      </c>
      <c r="B2" s="1" t="s">
        <v>52</v>
      </c>
      <c r="C2" s="1" t="s">
        <v>53</v>
      </c>
      <c r="D2" s="1" t="s">
        <v>54</v>
      </c>
      <c r="E2" s="3" t="s">
        <v>55</v>
      </c>
      <c r="F2" s="3" t="s">
        <v>56</v>
      </c>
      <c r="G2" s="3" t="s">
        <v>57</v>
      </c>
    </row>
    <row r="3" customHeight="1" spans="1:8">
      <c r="B3" s="1" t="s">
        <v>58</v>
      </c>
      <c r="C3" s="1" t="s">
        <v>59</v>
      </c>
      <c r="D3" s="1" t="s">
        <v>60</v>
      </c>
      <c r="E3" s="4">
        <v>0.9</v>
      </c>
      <c r="F3" s="4" t="s">
        <v>10</v>
      </c>
      <c r="G3" s="5">
        <v>-2</v>
      </c>
    </row>
    <row r="4" customHeight="1" spans="1:8">
      <c r="C4" s="1" t="s">
        <v>61</v>
      </c>
      <c r="D4" s="1" t="s">
        <v>62</v>
      </c>
      <c r="E4" s="4">
        <v>1</v>
      </c>
      <c r="F4" s="4" t="s">
        <v>11</v>
      </c>
      <c r="G4" s="6"/>
    </row>
    <row r="5" customHeight="1" spans="1:8">
      <c r="C5" s="1" t="s">
        <v>63</v>
      </c>
      <c r="D5" s="1" t="s">
        <v>64</v>
      </c>
      <c r="E5" s="4">
        <v>1.1</v>
      </c>
      <c r="F5" s="4" t="s">
        <v>12</v>
      </c>
      <c r="G5" s="6"/>
    </row>
    <row r="6" customHeight="1" spans="1:8">
      <c r="C6" s="1" t="s">
        <v>65</v>
      </c>
      <c r="D6" s="1" t="s">
        <v>66</v>
      </c>
      <c r="E6" s="4">
        <v>1.15</v>
      </c>
      <c r="F6" s="4" t="s">
        <v>13</v>
      </c>
      <c r="G6" s="6"/>
    </row>
    <row r="7" customHeight="1" spans="1:8">
      <c r="D7" s="1" t="s">
        <v>67</v>
      </c>
      <c r="E7" s="4">
        <v>1.2</v>
      </c>
      <c r="F7" s="4" t="s">
        <v>14</v>
      </c>
      <c r="G7" s="7"/>
    </row>
    <row r="8" customHeight="1" spans="1:8">
      <c r="D8" s="1" t="s">
        <v>68</v>
      </c>
      <c r="E8" s="4">
        <v>1.25</v>
      </c>
      <c r="F8" s="4" t="s">
        <v>15</v>
      </c>
      <c r="G8" s="5" t="s">
        <v>69</v>
      </c>
    </row>
    <row r="9" customHeight="1" spans="1:8">
      <c r="D9" s="1" t="s">
        <v>70</v>
      </c>
      <c r="E9" s="4">
        <v>1.3</v>
      </c>
      <c r="F9" s="4" t="s">
        <v>16</v>
      </c>
      <c r="G9" s="6"/>
    </row>
    <row r="10" customHeight="1" spans="1:8">
      <c r="E10" s="4">
        <v>1.35</v>
      </c>
      <c r="F10" s="4" t="s">
        <v>17</v>
      </c>
      <c r="G10" s="6"/>
    </row>
    <row r="11" customHeight="1" spans="1:8">
      <c r="E11" s="4">
        <v>1.4</v>
      </c>
      <c r="F11" s="4" t="s">
        <v>18</v>
      </c>
      <c r="G11" s="6"/>
    </row>
    <row r="12" customHeight="1" spans="1:8">
      <c r="E12" s="4">
        <v>1.45</v>
      </c>
      <c r="F12" s="4" t="s">
        <v>19</v>
      </c>
      <c r="G12" s="6"/>
    </row>
    <row r="13" customHeight="1" spans="1:8">
      <c r="E13" s="4">
        <v>1.5</v>
      </c>
      <c r="F13" s="4" t="s">
        <v>20</v>
      </c>
      <c r="G13" s="6"/>
    </row>
    <row r="14" customHeight="1" spans="1:8">
      <c r="E14" s="4">
        <v>1.55</v>
      </c>
      <c r="F14" s="4" t="s">
        <v>21</v>
      </c>
      <c r="G14" s="6"/>
    </row>
    <row r="15" customHeight="1" spans="1:8">
      <c r="E15" s="4">
        <v>1.6</v>
      </c>
      <c r="F15" s="4" t="s">
        <v>22</v>
      </c>
      <c r="G15" s="6"/>
    </row>
    <row r="16" customHeight="1" spans="1:8">
      <c r="E16" s="4">
        <v>1.7</v>
      </c>
      <c r="F16" s="4" t="s">
        <v>23</v>
      </c>
      <c r="G16" s="7"/>
    </row>
    <row r="17" customHeight="1" spans="5:7">
      <c r="E17" s="4">
        <v>1.8</v>
      </c>
      <c r="F17" s="4" t="s">
        <v>24</v>
      </c>
      <c r="G17" s="5" t="s">
        <v>71</v>
      </c>
    </row>
    <row r="18" customHeight="1" spans="5:7">
      <c r="E18" s="4">
        <v>1.9</v>
      </c>
      <c r="F18" s="4" t="s">
        <v>25</v>
      </c>
      <c r="G18" s="6"/>
    </row>
    <row r="19" customHeight="1" spans="5:7">
      <c r="E19" s="4">
        <v>2</v>
      </c>
      <c r="F19" s="4" t="s">
        <v>26</v>
      </c>
      <c r="G19" s="6"/>
    </row>
    <row r="20" customHeight="1" spans="5:7">
      <c r="E20" s="4">
        <v>2.1</v>
      </c>
      <c r="F20" s="4" t="s">
        <v>27</v>
      </c>
      <c r="G20" s="6"/>
    </row>
    <row r="21" customHeight="1" spans="5:7">
      <c r="E21" s="4">
        <v>2.2</v>
      </c>
      <c r="F21" s="4" t="s">
        <v>28</v>
      </c>
      <c r="G21" s="6"/>
    </row>
    <row r="22" customHeight="1" spans="5:7">
      <c r="E22" s="4">
        <v>2.3</v>
      </c>
      <c r="F22" s="4" t="s">
        <v>29</v>
      </c>
      <c r="G22" s="6"/>
    </row>
    <row r="23" customHeight="1" spans="5:7">
      <c r="E23" s="4">
        <v>2.4</v>
      </c>
      <c r="F23" s="4" t="s">
        <v>30</v>
      </c>
      <c r="G23" s="6"/>
    </row>
    <row r="24" customHeight="1" spans="5:7">
      <c r="E24" s="4">
        <v>2.5</v>
      </c>
      <c r="F24" s="4" t="s">
        <v>31</v>
      </c>
      <c r="G24" s="6"/>
    </row>
    <row r="25" customHeight="1" spans="5:7">
      <c r="E25" s="4">
        <v>2.6</v>
      </c>
      <c r="F25" s="4" t="s">
        <v>32</v>
      </c>
      <c r="G25" s="7"/>
    </row>
    <row r="26" customHeight="1" spans="5:7">
      <c r="E26" s="4">
        <v>2.7</v>
      </c>
      <c r="F26" s="4" t="s">
        <v>33</v>
      </c>
      <c r="G26" s="5">
        <v>11</v>
      </c>
    </row>
    <row r="27" customHeight="1" spans="5:7">
      <c r="E27" s="4">
        <v>2.8</v>
      </c>
      <c r="F27" s="4" t="s">
        <v>34</v>
      </c>
      <c r="G27" s="6"/>
    </row>
    <row r="28" customHeight="1" spans="5:7">
      <c r="E28" s="4">
        <v>2.9</v>
      </c>
      <c r="F28" s="4" t="s">
        <v>35</v>
      </c>
      <c r="G28" s="6"/>
    </row>
    <row r="29" customHeight="1" spans="5:7">
      <c r="E29" s="4">
        <v>3</v>
      </c>
      <c r="F29" s="4" t="s">
        <v>36</v>
      </c>
      <c r="G29" s="6"/>
    </row>
    <row r="30" customHeight="1" spans="5:7">
      <c r="E30" s="4">
        <v>3.1</v>
      </c>
      <c r="F30" s="4" t="s">
        <v>37</v>
      </c>
      <c r="G30" s="6"/>
    </row>
    <row r="31" customHeight="1" spans="5:7">
      <c r="E31" s="4">
        <v>3.2</v>
      </c>
      <c r="F31" s="4" t="s">
        <v>38</v>
      </c>
      <c r="G31" s="7"/>
    </row>
    <row r="32" customHeight="1" spans="5:7">
      <c r="E32" s="4">
        <v>3.3</v>
      </c>
      <c r="F32" s="4" t="s">
        <v>39</v>
      </c>
      <c r="G32" s="4">
        <v>14</v>
      </c>
    </row>
  </sheetData>
  <mergeCells count="5">
    <mergeCell ref="E1:F1"/>
    <mergeCell ref="G3:G7"/>
    <mergeCell ref="G8:G16"/>
    <mergeCell ref="G17:G25"/>
    <mergeCell ref="G26:G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price</vt:lpstr>
      <vt:lpstr>inquiry from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GHANSHYAM JASANI</cp:lastModifiedBy>
  <dcterms:created xsi:type="dcterms:W3CDTF">2026-06-17T04:07:00Z</dcterms:created>
  <dcterms:modified xsi:type="dcterms:W3CDTF">2026-10-15T05:35:12Z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264BE004CE78485F905AADB5779345D0_13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